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R Summary 25" sheetId="1" r:id="rId4"/>
    <sheet state="visible" name="JAN 25" sheetId="2" r:id="rId5"/>
  </sheets>
  <definedNames/>
  <calcPr/>
</workbook>
</file>

<file path=xl/sharedStrings.xml><?xml version="1.0" encoding="utf-8"?>
<sst xmlns="http://schemas.openxmlformats.org/spreadsheetml/2006/main" count="119" uniqueCount="77">
  <si>
    <t>Month</t>
  </si>
  <si>
    <t>Income (actual)</t>
  </si>
  <si>
    <t>Income 
(Projected)</t>
  </si>
  <si>
    <t>Status ( Does the actual meet the projected)</t>
  </si>
  <si>
    <t>Related files</t>
  </si>
  <si>
    <t>Notes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</si>
  <si>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</si>
  <si>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</si>
  <si>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</si>
  <si>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</si>
  <si>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</si>
  <si>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</si>
  <si>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</si>
  <si>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</si>
  <si>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</si>
  <si>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</si>
  <si>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</si>
  <si>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</si>
  <si>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</si>
  <si>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 xml:space="preserve">Summary| </t>
  </si>
  <si>
    <t>Talent</t>
  </si>
  <si>
    <t>Brand</t>
  </si>
  <si>
    <t xml:space="preserve">Scope of Work </t>
  </si>
  <si>
    <t>Currency</t>
  </si>
  <si>
    <t>Fee</t>
  </si>
  <si>
    <t xml:space="preserve">Agency% </t>
  </si>
  <si>
    <t xml:space="preserve">Agency Total </t>
  </si>
  <si>
    <t>Stage</t>
  </si>
  <si>
    <t>Due date</t>
  </si>
  <si>
    <t>Payment Status</t>
  </si>
  <si>
    <t>next step</t>
  </si>
  <si>
    <t>Notes | Payment Terms</t>
  </si>
  <si>
    <t>Patricia</t>
  </si>
  <si>
    <t>Women Empowered Now (Dubai)</t>
  </si>
  <si>
    <t>Speaking appearance (women’s empowerment event)
2 nights accommodation 5* hotel
Premium Economy flights</t>
  </si>
  <si>
    <t>GBP</t>
  </si>
  <si>
    <t>Contracted</t>
  </si>
  <si>
    <t>Confirmed. Speaker fee agreed at £5k. Flights + 2 nights 5★ hotel (premium economy) covered by client. Event date: 2 May 2026.</t>
  </si>
  <si>
    <t>AVEENO</t>
  </si>
  <si>
    <t xml:space="preserve">2 x IG Reels - 
2 x IG Story Sets (6 Frames)
1 x YouTube Inclusion 
1 x Snapchat Story 
1 x Event Attendance 
1 x PR Quote
co collab on product kit </t>
  </si>
  <si>
    <t>In discussion</t>
  </si>
  <si>
    <t>Heart Radio &amp; NatWest</t>
  </si>
  <si>
    <t>Audio content / radio campaign</t>
  </si>
  <si>
    <t>Last-minute brief. £3k budget. Awaiting Patricia interest / confirmation.</t>
  </si>
  <si>
    <t>ACCA</t>
  </si>
  <si>
    <t>YouTube Shorts video
1 x vertical video (≤120s)
1 x raw asset
1 x additional repurposing video (no posting)</t>
  </si>
  <si>
    <t>TBC</t>
  </si>
  <si>
    <t xml:space="preserve">Lenor (P&amp;G) </t>
  </si>
  <si>
    <t>2 x TikTok videos (creative treatment required)</t>
  </si>
  <si>
    <t>Anua – Rice Line</t>
  </si>
  <si>
    <t>1 x video, organic usage only (UK Jan activation)</t>
  </si>
  <si>
    <t>CALAI</t>
  </si>
  <si>
    <t>Pippit (Katlas Media)</t>
  </si>
  <si>
    <t>Paid collaboration (details TBC)</t>
  </si>
  <si>
    <t>Skillshare</t>
  </si>
  <si>
    <t xml:space="preserve">1 X YT integration </t>
  </si>
  <si>
    <t>Offer Declined</t>
  </si>
  <si>
    <t>Symprove</t>
  </si>
  <si>
    <t>2 x story sets (3 frames each)</t>
  </si>
  <si>
    <t>SHEGLAM</t>
  </si>
  <si>
    <t>TT</t>
  </si>
  <si>
    <t>ShopTalk Abu Dhabi</t>
  </si>
  <si>
    <t>Speaking</t>
  </si>
  <si>
    <t xml:space="preserve">Quickbooks </t>
  </si>
  <si>
    <t>2 hours of filming
A story repost once the content is live</t>
  </si>
  <si>
    <t xml:space="preserve">Awaiting Brief </t>
  </si>
  <si>
    <t>Real Techniques</t>
  </si>
  <si>
    <t>Maison Francis Kurkdjian</t>
  </si>
  <si>
    <t>The Motherhood Group</t>
  </si>
  <si>
    <t>send bio, headshot, Title</t>
  </si>
  <si>
    <t xml:space="preserve">Lovable </t>
  </si>
  <si>
    <t xml:space="preserve">Adobe </t>
  </si>
  <si>
    <t>TOTAL US</t>
  </si>
  <si>
    <t>TOAL UK</t>
  </si>
  <si>
    <t>Conversion rate? aproximate</t>
  </si>
  <si>
    <t>TOTAL EU</t>
  </si>
  <si>
    <t xml:space="preserve">Averge GPD amount based on conversion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</si>
</sst>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Arial"/>
    </font>
    <font>
      <b/>
      <color theme="1"/>
      <name val="Arial"/>
      <scheme val="minor"/>
    </font>
    <font/>
    <font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E06666"/>
        <bgColor rgb="FFE06666"/>
      </patternFill>
    </fill>
  </fills>
  <borders count="17">
    <border/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1" fillId="2" fontId="3" numFmtId="164" xfId="0" applyAlignment="1" applyBorder="1" applyFill="1" applyFont="1" applyNumberFormat="1">
      <alignment horizontal="left"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4" numFmtId="3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4" fillId="2" fontId="2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3" fontId="3" numFmtId="0" xfId="0" applyAlignment="1" applyBorder="1" applyFill="1" applyFont="1">
      <alignment horizontal="left" readingOrder="0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3" xfId="0" applyAlignment="1" applyBorder="1" applyFont="1" applyNumberFormat="1">
      <alignment readingOrder="0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49" xfId="0" applyAlignment="1" applyBorder="1" applyFont="1" applyNumberFormat="1">
      <alignment shrinkToFit="0" vertical="center" wrapText="0"/>
    </xf>
    <xf borderId="6" fillId="3" fontId="2" numFmtId="49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3" fontId="2" numFmtId="3" xfId="0" applyAlignment="1" applyFont="1" applyNumberForma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7" fillId="0" fontId="5" numFmtId="0" xfId="0" applyAlignment="1" applyBorder="1" applyFont="1">
      <alignment readingOrder="0" vertical="top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4" fontId="7" numFmtId="0" xfId="0" applyAlignment="1" applyBorder="1" applyFill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5" fontId="5" numFmtId="0" xfId="0" applyAlignment="1" applyFill="1" applyFont="1">
      <alignment readingOrder="0"/>
    </xf>
    <xf borderId="0" fillId="5" fontId="1" numFmtId="49" xfId="0" applyAlignment="1" applyFont="1" applyNumberFormat="1">
      <alignment readingOrder="0"/>
    </xf>
    <xf borderId="0" fillId="5" fontId="1" numFmtId="0" xfId="0" applyFont="1"/>
    <xf borderId="16" fillId="5" fontId="1" numFmtId="0" xfId="0" applyBorder="1" applyFont="1"/>
    <xf borderId="0" fillId="5" fontId="1" numFmtId="0" xfId="0" applyFont="1"/>
    <xf borderId="0" fillId="5" fontId="1" numFmtId="0" xfId="0" applyFont="1"/>
    <xf borderId="0" fillId="5" fontId="1" numFmtId="0" xfId="0" applyAlignment="1" applyFont="1">
      <alignment readingOrder="0"/>
    </xf>
    <xf borderId="16" fillId="5" fontId="1" numFmtId="0" xfId="0" applyAlignment="1" applyBorder="1" applyFont="1">
      <alignment readingOrder="0"/>
    </xf>
    <xf borderId="0" fillId="5" fontId="1" numFmtId="0" xfId="0" applyFont="1"/>
    <xf borderId="16" fillId="5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2">
    <tableStyle count="4" pivot="0" name="YR Summary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 25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Yearly_Income_" name="Yearly_Income_" id="1">
  <tableColumns count="6">
    <tableColumn name="Month" id="1"/>
    <tableColumn name="Income (actual)" id="2"/>
    <tableColumn name="Income _x000a_(Projected)" id="3"/>
    <tableColumn name="Status ( Does the actual meet the projected)" id="4"/>
    <tableColumn name="Related files" id="5"/>
    <tableColumn name="Notes" id="6"/>
  </tableColumns>
  <tableStyleInfo name="YR Summary 25-style" showColumnStripes="0" showFirstColumn="1" showLastColumn="1" showRowStripes="1"/>
</table>
</file>

<file path=xl/tables/table2.xml><?xml version="1.0" encoding="utf-8"?>
<table xmlns="http://schemas.openxmlformats.org/spreadsheetml/2006/main" ref="A1:L19" displayName="Jan_2" name="Jan_2" id="2">
  <tableColumns count="12">
    <tableColumn name="Talent" id="1"/>
    <tableColumn name="Brand" id="2"/>
    <tableColumn name="Scope of Work " id="3"/>
    <tableColumn name="Currency" id="4"/>
    <tableColumn name="Fee" id="5"/>
    <tableColumn name="Agency% " id="6"/>
    <tableColumn name="Agency Total " id="7"/>
    <tableColumn name="Stage" id="8"/>
    <tableColumn name="Due date" id="9"/>
    <tableColumn name="Payment Status" id="10"/>
    <tableColumn name="next step" id="11"/>
    <tableColumn name="Notes | Payment Terms" id="12"/>
  </tableColumns>
  <tableStyleInfo name="JAN 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0.38"/>
    <col customWidth="1" min="3" max="3" width="21.13"/>
    <col customWidth="1" min="4" max="4" width="35.38"/>
    <col customWidth="1" min="5" max="5" width="20.63"/>
    <col customWidth="1" min="6" max="6" width="5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2.5" customHeight="1">
      <c r="A2" s="3">
        <v>46016.0</v>
      </c>
      <c r="B2" s="4"/>
      <c r="C2" s="5">
        <v>50000.0</v>
      </c>
      <c r="D2" s="6"/>
      <c r="E2" s="7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2.5" customHeight="1">
      <c r="A3" s="9" t="s">
        <v>6</v>
      </c>
      <c r="B3" s="10"/>
      <c r="C3" s="11">
        <v>20000.0</v>
      </c>
      <c r="D3" s="12"/>
      <c r="E3" s="13"/>
      <c r="F3" s="1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2.5" customHeight="1">
      <c r="A4" s="9" t="s">
        <v>7</v>
      </c>
      <c r="B4" s="10"/>
      <c r="C4" s="11">
        <v>20000.0</v>
      </c>
      <c r="D4" s="12"/>
      <c r="E4" s="13"/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2.5" customHeight="1">
      <c r="A5" s="9" t="s">
        <v>8</v>
      </c>
      <c r="B5" s="10"/>
      <c r="C5" s="11">
        <v>30000.0</v>
      </c>
      <c r="D5" s="12"/>
      <c r="E5" s="13"/>
      <c r="F5" s="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2.5" customHeight="1">
      <c r="A6" s="9" t="s">
        <v>9</v>
      </c>
      <c r="B6" s="10"/>
      <c r="C6" s="11">
        <v>30000.0</v>
      </c>
      <c r="D6" s="14"/>
      <c r="E6" s="13"/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2.5" customHeight="1">
      <c r="A7" s="15" t="s">
        <v>10</v>
      </c>
      <c r="B7" s="16"/>
      <c r="C7" s="17">
        <v>40000.0</v>
      </c>
      <c r="D7" s="18"/>
      <c r="E7" s="19"/>
      <c r="F7" s="2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2.5" customHeight="1">
      <c r="A8" s="21" t="s">
        <v>11</v>
      </c>
      <c r="B8" s="4"/>
      <c r="C8" s="17">
        <v>40000.0</v>
      </c>
      <c r="D8" s="6"/>
      <c r="E8" s="7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2.5" customHeight="1">
      <c r="A9" s="15" t="s">
        <v>12</v>
      </c>
      <c r="B9" s="16"/>
      <c r="C9" s="17">
        <v>40000.0</v>
      </c>
      <c r="D9" s="18"/>
      <c r="E9" s="19"/>
      <c r="F9" s="20"/>
    </row>
    <row r="10" ht="22.5" customHeight="1">
      <c r="A10" s="21" t="s">
        <v>13</v>
      </c>
      <c r="B10" s="4"/>
      <c r="C10" s="17">
        <v>40000.0</v>
      </c>
      <c r="D10" s="6"/>
      <c r="E10" s="7"/>
      <c r="F10" s="8"/>
    </row>
    <row r="11" ht="22.5" customHeight="1">
      <c r="A11" s="15" t="s">
        <v>14</v>
      </c>
      <c r="B11" s="16"/>
      <c r="C11" s="17">
        <v>50000.0</v>
      </c>
      <c r="D11" s="18"/>
      <c r="E11" s="19"/>
      <c r="F11" s="20"/>
    </row>
    <row r="12" ht="22.5" customHeight="1">
      <c r="A12" s="21" t="s">
        <v>15</v>
      </c>
      <c r="B12" s="4"/>
      <c r="C12" s="17">
        <v>50000.0</v>
      </c>
      <c r="D12" s="6"/>
      <c r="E12" s="7"/>
      <c r="F12" s="8"/>
    </row>
    <row r="13" ht="22.5" customHeight="1">
      <c r="A13" s="15" t="s">
        <v>16</v>
      </c>
      <c r="B13" s="16"/>
      <c r="C13" s="17">
        <v>50000.0</v>
      </c>
      <c r="D13" s="18"/>
      <c r="E13" s="19"/>
      <c r="F13" s="20"/>
    </row>
    <row r="14" ht="22.5" customHeight="1">
      <c r="A14" s="21" t="s">
        <v>17</v>
      </c>
      <c r="B14" s="4"/>
      <c r="C14" s="17">
        <v>50000.0</v>
      </c>
      <c r="D14" s="6"/>
      <c r="E14" s="7"/>
      <c r="F14" s="8"/>
    </row>
    <row r="15" ht="22.5" customHeight="1">
      <c r="A15" s="22" t="s">
        <v>18</v>
      </c>
      <c r="B15" s="23"/>
      <c r="C15" s="24">
        <f>SUM(C3:C14)</f>
        <v>460000</v>
      </c>
      <c r="D15" s="25"/>
      <c r="E15" s="26"/>
      <c r="F15" s="26"/>
    </row>
    <row r="16">
      <c r="B16" s="27"/>
      <c r="C16" s="27"/>
      <c r="D16" s="27"/>
      <c r="E16" s="27"/>
      <c r="F16" s="27"/>
    </row>
    <row r="17">
      <c r="B17" s="28" t="s">
        <v>19</v>
      </c>
      <c r="C17" s="29"/>
      <c r="D17" s="29"/>
      <c r="E17" s="29"/>
      <c r="F17" s="30"/>
    </row>
    <row r="18">
      <c r="B18" s="31"/>
      <c r="F18" s="32"/>
    </row>
    <row r="19">
      <c r="B19" s="31"/>
      <c r="F19" s="32"/>
    </row>
    <row r="20">
      <c r="B20" s="31"/>
      <c r="F20" s="32"/>
    </row>
    <row r="21">
      <c r="B21" s="31"/>
      <c r="F21" s="32"/>
    </row>
    <row r="22">
      <c r="B22" s="31"/>
      <c r="F22" s="32"/>
    </row>
    <row r="23">
      <c r="B23" s="31"/>
      <c r="F23" s="32"/>
    </row>
    <row r="24">
      <c r="B24" s="31"/>
      <c r="F24" s="32"/>
    </row>
    <row r="25">
      <c r="B25" s="31"/>
      <c r="F25" s="32"/>
    </row>
    <row r="26">
      <c r="B26" s="31"/>
      <c r="F26" s="32"/>
    </row>
    <row r="27">
      <c r="B27" s="31"/>
      <c r="F27" s="32"/>
    </row>
    <row r="28">
      <c r="B28" s="33"/>
      <c r="C28" s="34"/>
      <c r="D28" s="34"/>
      <c r="E28" s="34"/>
      <c r="F28" s="35"/>
    </row>
  </sheetData>
  <mergeCells count="1">
    <mergeCell ref="B17:F28"/>
  </mergeCells>
  <dataValidations>
    <dataValidation type="list" allowBlank="1" sqref="A2:A15">
      <formula1>"January,February,March,April,May,June,July,August,September,October,November,December,Total,December 25"</formula1>
    </dataValidation>
    <dataValidation type="custom" allowBlank="1" showDropDown="1" sqref="B2:B15">
      <formula1>AND(ISNUMBER(B2),(NOT(OR(NOT(ISERROR(DATEVALUE(B2))), AND(ISNUMBER(B2), LEFT(CELL("format", B2))="D")))))</formula1>
    </dataValidation>
    <dataValidation type="list" allowBlank="1" sqref="D2:D15">
      <formula1>"Under target,On target,Over target"</formula1>
    </dataValidation>
    <dataValidation allowBlank="1" showDropDown="1" sqref="F2:F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63"/>
    <col customWidth="1" min="3" max="3" width="37.25"/>
    <col customWidth="1" min="4" max="4" width="12.5"/>
    <col customWidth="1" min="5" max="5" width="9.0"/>
    <col customWidth="1" hidden="1" min="6" max="6" width="20.38"/>
    <col customWidth="1" hidden="1" min="7" max="7" width="17.0"/>
    <col customWidth="1" min="8" max="8" width="26.75"/>
    <col customWidth="1" min="9" max="9" width="20.63"/>
    <col customWidth="1" min="10" max="10" width="17.63"/>
    <col customWidth="1" min="11" max="11" width="34.0"/>
    <col customWidth="1" min="12" max="13" width="67.63"/>
  </cols>
  <sheetData>
    <row r="1" ht="22.5" customHeight="1">
      <c r="A1" s="1" t="s">
        <v>20</v>
      </c>
      <c r="B1" s="1" t="s">
        <v>21</v>
      </c>
      <c r="C1" s="1" t="s">
        <v>22</v>
      </c>
      <c r="D1" s="36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2.5" customHeight="1">
      <c r="A2" s="12" t="s">
        <v>32</v>
      </c>
      <c r="B2" s="37" t="s">
        <v>33</v>
      </c>
      <c r="C2" s="37" t="s">
        <v>34</v>
      </c>
      <c r="D2" s="38" t="s">
        <v>35</v>
      </c>
      <c r="E2" s="10">
        <v>5000.0</v>
      </c>
      <c r="F2" s="12">
        <v>0.15</v>
      </c>
      <c r="G2" s="39"/>
      <c r="H2" s="12" t="s">
        <v>36</v>
      </c>
      <c r="I2" s="40">
        <v>46144.0</v>
      </c>
      <c r="J2" s="41"/>
      <c r="K2" s="42"/>
      <c r="L2" s="37" t="s">
        <v>37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2.5" customHeight="1">
      <c r="A3" s="12" t="s">
        <v>32</v>
      </c>
      <c r="B3" s="37" t="s">
        <v>38</v>
      </c>
      <c r="C3" s="37" t="s">
        <v>39</v>
      </c>
      <c r="D3" s="43" t="s">
        <v>35</v>
      </c>
      <c r="E3" s="10">
        <v>125000.0</v>
      </c>
      <c r="F3" s="41"/>
      <c r="G3" s="39"/>
      <c r="H3" s="12" t="s">
        <v>40</v>
      </c>
      <c r="I3" s="40"/>
      <c r="J3" s="41"/>
      <c r="K3" s="42"/>
      <c r="L3" s="3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22.5" customHeight="1">
      <c r="A4" s="12" t="s">
        <v>32</v>
      </c>
      <c r="B4" s="37" t="s">
        <v>41</v>
      </c>
      <c r="C4" s="37" t="s">
        <v>42</v>
      </c>
      <c r="D4" s="44" t="s">
        <v>35</v>
      </c>
      <c r="E4" s="10">
        <v>3000.0</v>
      </c>
      <c r="F4" s="41"/>
      <c r="G4" s="39"/>
      <c r="H4" s="12" t="s">
        <v>36</v>
      </c>
      <c r="I4" s="40">
        <v>46028.0</v>
      </c>
      <c r="J4" s="41"/>
      <c r="K4" s="42"/>
      <c r="L4" s="37" t="s">
        <v>43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2.5" customHeight="1">
      <c r="A5" s="12" t="s">
        <v>32</v>
      </c>
      <c r="B5" s="45" t="s">
        <v>44</v>
      </c>
      <c r="C5" s="45" t="s">
        <v>45</v>
      </c>
      <c r="D5" s="38" t="s">
        <v>35</v>
      </c>
      <c r="E5" s="10" t="s">
        <v>46</v>
      </c>
      <c r="F5" s="41"/>
      <c r="G5" s="46"/>
      <c r="H5" s="12" t="s">
        <v>40</v>
      </c>
      <c r="I5" s="47"/>
      <c r="J5" s="41"/>
      <c r="K5" s="48"/>
      <c r="L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22.5" customHeight="1">
      <c r="A6" s="12" t="s">
        <v>32</v>
      </c>
      <c r="B6" s="37" t="s">
        <v>47</v>
      </c>
      <c r="C6" s="37" t="s">
        <v>48</v>
      </c>
      <c r="D6" s="44" t="s">
        <v>35</v>
      </c>
      <c r="E6" s="10" t="s">
        <v>46</v>
      </c>
      <c r="F6" s="14"/>
      <c r="G6" s="46"/>
      <c r="H6" s="12" t="s">
        <v>40</v>
      </c>
      <c r="I6" s="47"/>
      <c r="J6" s="14"/>
      <c r="K6" s="48"/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22.5" customHeight="1">
      <c r="A7" s="12" t="s">
        <v>32</v>
      </c>
      <c r="B7" s="37" t="s">
        <v>49</v>
      </c>
      <c r="C7" s="45" t="s">
        <v>50</v>
      </c>
      <c r="D7" s="38" t="s">
        <v>35</v>
      </c>
      <c r="E7" s="10" t="s">
        <v>46</v>
      </c>
      <c r="F7" s="14"/>
      <c r="G7" s="49"/>
      <c r="H7" s="12" t="s">
        <v>40</v>
      </c>
      <c r="I7" s="47"/>
      <c r="J7" s="14"/>
      <c r="K7" s="48"/>
      <c r="L7" s="1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22.5" customHeight="1">
      <c r="A8" s="12" t="s">
        <v>32</v>
      </c>
      <c r="B8" s="37" t="s">
        <v>51</v>
      </c>
      <c r="C8" s="45" t="s">
        <v>46</v>
      </c>
      <c r="D8" s="38" t="s">
        <v>35</v>
      </c>
      <c r="E8" s="10"/>
      <c r="F8" s="14"/>
      <c r="G8" s="49"/>
      <c r="H8" s="12" t="s">
        <v>40</v>
      </c>
      <c r="I8" s="47"/>
      <c r="J8" s="14"/>
      <c r="K8" s="48"/>
      <c r="L8" s="1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22.5" customHeight="1">
      <c r="A9" s="12" t="s">
        <v>32</v>
      </c>
      <c r="B9" s="37" t="s">
        <v>52</v>
      </c>
      <c r="C9" s="45" t="s">
        <v>53</v>
      </c>
      <c r="D9" s="38" t="s">
        <v>35</v>
      </c>
      <c r="E9" s="10" t="s">
        <v>46</v>
      </c>
      <c r="F9" s="14"/>
      <c r="G9" s="49"/>
      <c r="H9" s="12" t="s">
        <v>40</v>
      </c>
      <c r="I9" s="47"/>
      <c r="J9" s="14"/>
      <c r="K9" s="48"/>
      <c r="L9" s="1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2.5" customHeight="1">
      <c r="A10" s="12" t="s">
        <v>32</v>
      </c>
      <c r="B10" s="37" t="s">
        <v>54</v>
      </c>
      <c r="C10" s="45" t="s">
        <v>55</v>
      </c>
      <c r="D10" s="38" t="s">
        <v>35</v>
      </c>
      <c r="E10" s="10">
        <v>1500.0</v>
      </c>
      <c r="F10" s="14"/>
      <c r="G10" s="49"/>
      <c r="H10" s="12" t="s">
        <v>56</v>
      </c>
      <c r="I10" s="47"/>
      <c r="J10" s="14"/>
      <c r="K10" s="48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2.5" customHeight="1">
      <c r="A11" s="12" t="s">
        <v>32</v>
      </c>
      <c r="B11" s="37" t="s">
        <v>57</v>
      </c>
      <c r="C11" s="45" t="s">
        <v>58</v>
      </c>
      <c r="D11" s="38" t="s">
        <v>35</v>
      </c>
      <c r="E11" s="10"/>
      <c r="F11" s="14"/>
      <c r="G11" s="49"/>
      <c r="H11" s="12" t="s">
        <v>40</v>
      </c>
      <c r="I11" s="47"/>
      <c r="J11" s="14"/>
      <c r="K11" s="48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2.5" customHeight="1">
      <c r="A12" s="12" t="s">
        <v>32</v>
      </c>
      <c r="B12" s="37" t="s">
        <v>59</v>
      </c>
      <c r="C12" s="45" t="s">
        <v>60</v>
      </c>
      <c r="D12" s="50" t="s">
        <v>35</v>
      </c>
      <c r="E12" s="10" t="s">
        <v>46</v>
      </c>
      <c r="F12" s="14"/>
      <c r="G12" s="49"/>
      <c r="H12" s="12" t="s">
        <v>40</v>
      </c>
      <c r="I12" s="47"/>
      <c r="J12" s="14"/>
      <c r="K12" s="48"/>
      <c r="L12" s="1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2.5" customHeight="1">
      <c r="A13" s="12" t="s">
        <v>32</v>
      </c>
      <c r="B13" s="37" t="s">
        <v>61</v>
      </c>
      <c r="C13" s="45" t="s">
        <v>62</v>
      </c>
      <c r="D13" s="50"/>
      <c r="E13" s="10"/>
      <c r="F13" s="14"/>
      <c r="G13" s="49"/>
      <c r="H13" s="12" t="s">
        <v>40</v>
      </c>
      <c r="I13" s="40">
        <v>46049.0</v>
      </c>
      <c r="J13" s="14"/>
      <c r="K13" s="48"/>
      <c r="L13" s="1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2.5" customHeight="1">
      <c r="A14" s="12" t="s">
        <v>32</v>
      </c>
      <c r="B14" s="37" t="s">
        <v>63</v>
      </c>
      <c r="C14" s="45" t="s">
        <v>64</v>
      </c>
      <c r="D14" s="50"/>
      <c r="E14" s="10">
        <v>6000.0</v>
      </c>
      <c r="F14" s="14"/>
      <c r="G14" s="49"/>
      <c r="H14" s="12" t="s">
        <v>65</v>
      </c>
      <c r="I14" s="40"/>
      <c r="J14" s="14"/>
      <c r="K14" s="48"/>
      <c r="L14" s="1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2.5" customHeight="1">
      <c r="A15" s="12" t="s">
        <v>32</v>
      </c>
      <c r="B15" s="37" t="s">
        <v>66</v>
      </c>
      <c r="C15" s="45"/>
      <c r="D15" s="50"/>
      <c r="E15" s="10"/>
      <c r="F15" s="14"/>
      <c r="G15" s="49"/>
      <c r="H15" s="12" t="s">
        <v>40</v>
      </c>
      <c r="I15" s="40"/>
      <c r="J15" s="14"/>
      <c r="K15" s="48"/>
      <c r="L15" s="1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2.5" customHeight="1">
      <c r="A16" s="12" t="s">
        <v>32</v>
      </c>
      <c r="B16" s="37" t="s">
        <v>67</v>
      </c>
      <c r="C16" s="45"/>
      <c r="D16" s="50"/>
      <c r="E16" s="10"/>
      <c r="F16" s="14"/>
      <c r="G16" s="49"/>
      <c r="H16" s="12" t="s">
        <v>40</v>
      </c>
      <c r="I16" s="40"/>
      <c r="J16" s="14"/>
      <c r="K16" s="48"/>
      <c r="L16" s="1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2.5" customHeight="1">
      <c r="A17" s="12" t="s">
        <v>32</v>
      </c>
      <c r="B17" s="37" t="s">
        <v>68</v>
      </c>
      <c r="C17" s="45"/>
      <c r="D17" s="50"/>
      <c r="E17" s="10">
        <v>1000.0</v>
      </c>
      <c r="F17" s="14"/>
      <c r="G17" s="49"/>
      <c r="H17" s="12" t="s">
        <v>65</v>
      </c>
      <c r="I17" s="40"/>
      <c r="J17" s="14"/>
      <c r="K17" s="39" t="s">
        <v>69</v>
      </c>
      <c r="L17" s="1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2.5" customHeight="1">
      <c r="A18" s="12"/>
      <c r="B18" s="37" t="s">
        <v>70</v>
      </c>
      <c r="C18" s="45"/>
      <c r="D18" s="50"/>
      <c r="E18" s="10"/>
      <c r="F18" s="14"/>
      <c r="G18" s="49"/>
      <c r="H18" s="12"/>
      <c r="I18" s="40"/>
      <c r="J18" s="14"/>
      <c r="K18" s="48"/>
      <c r="L18" s="1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2.5" customHeight="1">
      <c r="A19" s="12"/>
      <c r="B19" s="37" t="s">
        <v>71</v>
      </c>
      <c r="C19" s="45"/>
      <c r="D19" s="50"/>
      <c r="E19" s="10"/>
      <c r="F19" s="14"/>
      <c r="G19" s="49"/>
      <c r="H19" s="12"/>
      <c r="I19" s="40"/>
      <c r="J19" s="14"/>
      <c r="K19" s="48"/>
      <c r="L19" s="1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1">
      <c r="A21" s="51" t="s">
        <v>72</v>
      </c>
      <c r="B21" s="51"/>
      <c r="C21" s="52"/>
      <c r="D21" s="53"/>
      <c r="E21" s="53"/>
      <c r="F21" s="54">
        <f>sum(Jan_2[Agency Total ])</f>
        <v>0</v>
      </c>
      <c r="G21" s="55"/>
      <c r="H21" s="56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</row>
    <row r="22">
      <c r="A22" s="51" t="s">
        <v>73</v>
      </c>
      <c r="B22" s="51"/>
      <c r="C22" s="56"/>
      <c r="D22" s="57" t="s">
        <v>74</v>
      </c>
      <c r="E22" s="56"/>
      <c r="F22" s="58">
        <f>sum(Jan_2[Fee])</f>
        <v>141500</v>
      </c>
      <c r="G22" s="56"/>
      <c r="H22" s="59">
        <f>sum(Jan_2[Fee])</f>
        <v>141500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</row>
    <row r="23">
      <c r="A23" s="51" t="s">
        <v>75</v>
      </c>
      <c r="B23" s="51"/>
      <c r="C23" s="56"/>
      <c r="D23" s="56"/>
      <c r="E23" s="56"/>
      <c r="F23" s="60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</row>
    <row r="24">
      <c r="E24" s="27" t="s">
        <v>76</v>
      </c>
    </row>
  </sheetData>
  <dataValidations>
    <dataValidation type="list" allowBlank="1" sqref="H2:H19">
      <formula1>"Contracted,Awaiting Brief ,Brief Received,Concept Approval,Content making ,Content Approval,Content Approved,Content Live,Awaiting Invoice Details,Invoiced,In discussion,Offer Declined,Offer received"</formula1>
    </dataValidation>
    <dataValidation type="list" allowBlank="1" sqref="A2:A19">
      <formula1>"Patricia,Daniel"</formula1>
    </dataValidation>
    <dataValidation type="list" allowBlank="1" sqref="J2:J19">
      <formula1>"Paid,Unpaid"</formula1>
    </dataValidation>
    <dataValidation type="custom" allowBlank="1" showDropDown="1" sqref="I2:I19">
      <formula1>OR(NOT(ISERROR(DATEVALUE(I2))), AND(ISNUMBER(I2), LEFT(CELL("format", I2))="D"))</formula1>
    </dataValidation>
    <dataValidation type="list" allowBlank="1" sqref="D2:D19">
      <formula1>"USD,GBP,EUR"</formula1>
    </dataValidation>
    <dataValidation allowBlank="1" showDropDown="1" sqref="C2:C19 L2:L19"/>
    <dataValidation type="list" allowBlank="1" sqref="F2:F19">
      <formula1>"0.10,0.15,0.5,0.2"</formula1>
    </dataValidation>
    <dataValidation type="custom" allowBlank="1" showDropDown="1" sqref="E2:E1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